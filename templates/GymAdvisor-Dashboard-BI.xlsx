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 d'emploi" sheetId="2" state="visible" r:id="rId2"/>
    <sheet name="Ressenti" sheetId="3" state="visible" r:id="rId3"/>
    <sheet name="Charges UA" sheetId="4" state="visible" r:id="rId4"/>
    <sheet name="Charges par zo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21214"/>
      <sz val="11"/>
    </font>
    <font>
      <b val="1"/>
      <color rgb="00C8F135"/>
      <sz val="11"/>
    </font>
    <font>
      <b val="1"/>
      <color rgb="001A1A1D"/>
      <sz val="20"/>
    </font>
    <font>
      <color rgb="005B6470"/>
      <sz val="14"/>
    </font>
    <font>
      <color rgb="005B6470"/>
      <sz val="12"/>
    </font>
    <font>
      <b val="1"/>
      <color rgb="005B6470"/>
      <sz val="9"/>
    </font>
    <font>
      <b val="1"/>
      <color rgb="001A1A1D"/>
      <sz val="18"/>
    </font>
    <font>
      <b val="1"/>
      <color rgb="005B6470"/>
      <sz val="10"/>
    </font>
    <font>
      <color rgb="001A1A1D"/>
      <sz val="14"/>
    </font>
    <font>
      <i val="1"/>
      <color rgb="005B6470"/>
      <sz val="9"/>
    </font>
    <font>
      <b val="1"/>
      <sz val="16"/>
    </font>
    <font>
      <color rgb="001A1A1D"/>
      <sz val="11"/>
    </font>
  </fonts>
  <fills count="6">
    <fill>
      <patternFill/>
    </fill>
    <fill>
      <patternFill patternType="gray125"/>
    </fill>
    <fill>
      <patternFill patternType="solid">
        <fgColor rgb="00C8F135"/>
      </patternFill>
    </fill>
    <fill>
      <patternFill patternType="solid">
        <fgColor rgb="001A1A1D"/>
      </patternFill>
    </fill>
    <fill>
      <patternFill patternType="solid">
        <fgColor rgb="00EEF0F3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D2D5DB"/>
      </left>
      <right style="thin">
        <color rgb="00D2D5DB"/>
      </right>
      <top style="thin">
        <color rgb="00D2D5DB"/>
      </top>
      <bottom style="thin">
        <color rgb="00D2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5" borderId="1" pivotButton="0" quotePrefix="0" xfId="0"/>
    <xf numFmtId="0" fontId="9" fillId="5" borderId="1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Ressenti pré-séance (série)</a:t>
            </a:r>
          </a:p>
        </rich>
      </tx>
    </title>
    <plotArea>
      <lineChart>
        <grouping val="standard"/>
        <ser>
          <idx val="0"/>
          <order val="0"/>
          <tx>
            <strRef>
              <f>'Ressenti'!B8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'Ressenti'!$A$9:$A$13</f>
            </numRef>
          </cat>
          <val>
            <numRef>
              <f>'Ressenti'!$B$9:$B$13</f>
            </numRef>
          </val>
        </ser>
        <ser>
          <idx val="1"/>
          <order val="1"/>
          <tx>
            <strRef>
              <f>'Ressenti'!C8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'Ressenti'!$A$9:$A$13</f>
            </numRef>
          </cat>
          <val>
            <numRef>
              <f>'Ressenti'!$C$9:$C$13</f>
            </numRef>
          </val>
        </ser>
        <ser>
          <idx val="2"/>
          <order val="2"/>
          <tx>
            <strRef>
              <f>'Ressenti'!D8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'Ressenti'!$A$9:$A$13</f>
            </numRef>
          </cat>
          <val>
            <numRef>
              <f>'Ressenti'!$D$9:$D$13</f>
            </numRef>
          </val>
        </ser>
        <ser>
          <idx val="3"/>
          <order val="3"/>
          <tx>
            <strRef>
              <f>'Ressenti'!E8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'Ressenti'!$A$9:$A$13</f>
            </numRef>
          </cat>
          <val>
            <numRef>
              <f>'Ressenti'!$E$9:$E$13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/5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Charges UA par période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'Charges UA'!B7</f>
            </strRef>
          </tx>
          <spPr>
            <a:ln>
              <a:prstDash val="solid"/>
            </a:ln>
          </spPr>
          <cat>
            <numRef>
              <f>'Charges UA'!$A$8:$A$12</f>
            </numRef>
          </cat>
          <val>
            <numRef>
              <f>'Charges UA'!$B$8:$B$12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'Charges UA'!C7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'Charges UA'!$A$8:$A$12</f>
            </numRef>
          </cat>
          <val>
            <numRef>
              <f>'Charges UA'!$C$8:$C$12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UA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RPE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tonnage par zone</a:t>
            </a:r>
          </a:p>
        </rich>
      </tx>
    </title>
    <plotArea>
      <pieChart>
        <varyColors val="1"/>
        <ser>
          <idx val="0"/>
          <order val="0"/>
          <tx>
            <strRef>
              <f>'Charges par zone'!B1</f>
            </strRef>
          </tx>
          <spPr>
            <a:ln>
              <a:prstDash val="solid"/>
            </a:ln>
          </spPr>
          <cat>
            <numRef>
              <f>'Charges par zone'!$A$2:$A$5</f>
            </numRef>
          </cat>
          <val>
            <numRef>
              <f>'Charges par zone'!$B$2:$B$5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Tonnage par zone (kg)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'Charges par zone'!B1</f>
            </strRef>
          </tx>
          <spPr>
            <a:ln>
              <a:prstDash val="solid"/>
            </a:ln>
          </spPr>
          <cat>
            <numRef>
              <f>'Charges par zone'!$A$2:$A$5</f>
            </numRef>
          </cat>
          <val>
            <numRef>
              <f>'Charges par zone'!$B$2:$B$5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7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23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RessentiSerie" displayName="TbRessentiSerie" ref="A8:F13" headerRowCount="1">
  <autoFilter ref="A8:F13"/>
  <tableColumns count="6">
    <tableColumn id="1" name="Bucket"/>
    <tableColumn id="2" name="Énergie"/>
    <tableColumn id="3" name="Sommeil"/>
    <tableColumn id="4" name="Douleurs"/>
    <tableColumn id="5" name="Motivation"/>
    <tableColumn id="6" name="Nb"/>
  </tableColumns>
  <tableStyleInfo name="TableStyleMedium2" showRowStripes="1"/>
</table>
</file>

<file path=xl/tables/table2.xml><?xml version="1.0" encoding="utf-8"?>
<table xmlns="http://schemas.openxmlformats.org/spreadsheetml/2006/main" id="2" name="TbChargesUA" displayName="TbChargesUA" ref="A7:C12" headerRowCount="1">
  <autoFilter ref="A7:C12"/>
  <tableColumns count="3">
    <tableColumn id="1" name="Bucket"/>
    <tableColumn id="2" name="UA"/>
    <tableColumn id="3" name="RPE moyen"/>
  </tableColumns>
  <tableStyleInfo name="TableStyleMedium2" showRowStripes="1"/>
</table>
</file>

<file path=xl/tables/table3.xml><?xml version="1.0" encoding="utf-8"?>
<table xmlns="http://schemas.openxmlformats.org/spreadsheetml/2006/main" id="3" name="TbZones" displayName="TbZones" ref="A1:C5" headerRowCount="1">
  <autoFilter ref="A1:C5"/>
  <tableColumns count="3">
    <tableColumn id="1" name="Zone"/>
    <tableColumn id="2" name="Tonnage (kg)"/>
    <tableColumn id="3" name="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28" customHeight="1">
      <c r="A1" s="1" t="inlineStr">
        <is>
          <t>GymAdvisor — Dashboard BI</t>
        </is>
      </c>
    </row>
    <row r="2">
      <c r="A2" s="2" t="inlineStr">
        <is>
          <t>Lilian Monnaert</t>
        </is>
      </c>
      <c r="E2" s="3" t="inlineStr">
        <is>
          <t>2026-09-01 → 2026-09-30</t>
        </is>
      </c>
    </row>
    <row r="4" ht="18" customHeight="1">
      <c r="A4" s="4" t="inlineStr">
        <is>
          <t>Séances</t>
        </is>
      </c>
      <c r="B4" s="5" t="inlineStr">
        <is>
          <t>3/10</t>
        </is>
      </c>
      <c r="C4" s="4" t="inlineStr">
        <is>
          <t>Volume (kg)</t>
        </is>
      </c>
      <c r="D4" s="5" t="n">
        <v>30618</v>
      </c>
      <c r="E4" s="4" t="inlineStr">
        <is>
          <t>RPE moyen</t>
        </is>
      </c>
      <c r="F4" s="5" t="n">
        <v>8.800000000000001</v>
      </c>
      <c r="G4" s="4" t="inlineStr">
        <is>
          <t>Score ressenti</t>
        </is>
      </c>
      <c r="H4" s="5" t="n">
        <v>3.8</v>
      </c>
    </row>
    <row r="5" ht="28" customHeight="1"/>
    <row r="6" ht="24" customHeight="1">
      <c r="A6" s="6" t="inlineStr">
        <is>
          <t>Total UA</t>
        </is>
      </c>
      <c r="B6" s="7" t="n">
        <v>2.7</v>
      </c>
      <c r="C6" s="6" t="inlineStr">
        <is>
          <t>Aigu 7 j</t>
        </is>
      </c>
      <c r="D6" s="7" t="n">
        <v>0</v>
      </c>
      <c r="E6" s="6" t="inlineStr">
        <is>
          <t>Chronique / sem</t>
        </is>
      </c>
      <c r="F6" s="7" t="n">
        <v>0.7</v>
      </c>
      <c r="G6" s="6" t="inlineStr">
        <is>
          <t>Ratio A/C</t>
        </is>
      </c>
      <c r="H6" s="7" t="n">
        <v>0</v>
      </c>
    </row>
    <row r="40">
      <c r="A40" s="8" t="inlineStr">
        <is>
          <t>Source : onglets Ressenti, Charges UA, Charges par zone (même format que l’export GymAdvisor). Les tableaux Excel (TbRessentiSerie, TbChargesUA, TbZones) s’étendent si tu ajoutes des lignes sous les en-têtes Bucket / Zone. Les graphiques du Dashboard sont recalculés à chaque génération.</t>
        </is>
      </c>
    </row>
    <row r="41"/>
    <row r="42"/>
  </sheetData>
  <mergeCells count="4">
    <mergeCell ref="A40:H42"/>
    <mergeCell ref="E2:H2"/>
    <mergeCell ref="A2:D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Comment utiliser ce Dashboard BI</t>
        </is>
      </c>
    </row>
    <row r="2">
      <c r="A2" s="10" t="inlineStr"/>
    </row>
    <row r="3">
      <c r="A3" s="10" t="inlineStr">
        <is>
          <t>1. Cet onglet Dashboard est généré automatiquement à partir des 3 onglets de données.</t>
        </is>
      </c>
    </row>
    <row r="4">
      <c r="A4" s="10" t="inlineStr">
        <is>
          <t>2. Format attendu (identique à l’export coach GymAdvisor) :</t>
        </is>
      </c>
    </row>
    <row r="5">
      <c r="A5" s="10" t="inlineStr">
        <is>
          <t xml:space="preserve">   - Ressenti : résumé période + KPI + tableau série (Bucket, Énergie, Sommeil, Douleurs, Motivation, Nb)</t>
        </is>
      </c>
    </row>
    <row r="6">
      <c r="A6" s="10" t="inlineStr">
        <is>
          <t xml:space="preserve">   - Charges UA : athlète, totaux, ratio A/C + série (Bucket, UA, RPE moyen)</t>
        </is>
      </c>
    </row>
    <row r="7">
      <c r="A7" s="10" t="inlineStr">
        <is>
          <t xml:space="preserve">   - Charges par zone : Zone, Tonnage (kg), %</t>
        </is>
      </c>
    </row>
    <row r="8">
      <c r="A8" s="10" t="inlineStr">
        <is>
          <t>3. Volume de données : les graphiques et tableaux Excel s’adaptent au nombre de lignes présentes.</t>
        </is>
      </c>
    </row>
    <row r="9">
      <c r="A9" s="10" t="inlineStr">
        <is>
          <t>4. Pour mettre à jour : regénère l’export depuis GymAdvisor, ou relance le script generate-dashboard-bi.py</t>
        </is>
      </c>
    </row>
    <row r="10">
      <c r="A10" s="10" t="inlineStr">
        <is>
          <t xml:space="preserve">   en passant le chemin du nouveau fichier .xlsx.</t>
        </is>
      </c>
    </row>
    <row r="11">
      <c r="A11" s="10" t="inlineStr">
        <is>
          <t>5. Tu peux aussi coller de nouvelles lignes dans les tableaux Tb* (Excel étend le tableau).</t>
        </is>
      </c>
    </row>
    <row r="12">
      <c r="A12" s="10" t="inlineStr"/>
    </row>
    <row r="13">
      <c r="A13" s="10" t="inlineStr">
        <is>
          <t>Astuce : ouvre d’abord l’onglet Dashboard pour le suivi, puis les onglets de détail pour forer.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6" customWidth="1" min="7" max="7"/>
  </cols>
  <sheetData>
    <row r="1">
      <c r="A1" s="11" t="inlineStr">
        <is>
          <t>Période</t>
        </is>
      </c>
      <c r="B1" s="11" t="inlineStr">
        <is>
          <t>Énergie</t>
        </is>
      </c>
      <c r="C1" s="11" t="inlineStr">
        <is>
          <t>Sommeil</t>
        </is>
      </c>
      <c r="D1" s="11" t="inlineStr">
        <is>
          <t>Douleurs</t>
        </is>
      </c>
      <c r="E1" s="11" t="inlineStr">
        <is>
          <t>Motivation</t>
        </is>
      </c>
      <c r="F1" s="11" t="inlineStr">
        <is>
          <t>Nb check-ins</t>
        </is>
      </c>
      <c r="G1" s="11" t="inlineStr">
        <is>
          <t>Score ressenti</t>
        </is>
      </c>
    </row>
    <row r="2">
      <c r="A2" t="inlineStr">
        <is>
          <t>2026-09-01 → 2026-09-30</t>
        </is>
      </c>
      <c r="B2" t="n">
        <v>4.7</v>
      </c>
      <c r="C2" t="n">
        <v>4</v>
      </c>
      <c r="D2" t="n">
        <v>3.3</v>
      </c>
      <c r="E2" t="n">
        <v>3.7</v>
      </c>
      <c r="F2" t="n">
        <v>3</v>
      </c>
      <c r="G2" t="n">
        <v>3.8</v>
      </c>
    </row>
    <row r="3"/>
    <row r="4">
      <c r="A4" t="inlineStr">
        <is>
          <t>KPI séances</t>
        </is>
      </c>
      <c r="B4" t="inlineStr">
        <is>
          <t>3/10</t>
        </is>
      </c>
    </row>
    <row r="5">
      <c r="A5" t="inlineStr">
        <is>
          <t>KPI volume kg</t>
        </is>
      </c>
      <c r="B5" t="n">
        <v>30618</v>
      </c>
    </row>
    <row r="6">
      <c r="A6" t="inlineStr">
        <is>
          <t>KPI RPE moyen</t>
        </is>
      </c>
      <c r="B6" t="n">
        <v>8.800000000000001</v>
      </c>
    </row>
    <row r="7"/>
    <row r="8">
      <c r="A8" s="12" t="inlineStr">
        <is>
          <t>Bucket</t>
        </is>
      </c>
      <c r="B8" s="12" t="inlineStr">
        <is>
          <t>Énergie</t>
        </is>
      </c>
      <c r="C8" s="12" t="inlineStr">
        <is>
          <t>Sommeil</t>
        </is>
      </c>
      <c r="D8" s="12" t="inlineStr">
        <is>
          <t>Douleurs</t>
        </is>
      </c>
      <c r="E8" s="12" t="inlineStr">
        <is>
          <t>Motivation</t>
        </is>
      </c>
      <c r="F8" s="12" t="inlineStr">
        <is>
          <t>Nb</t>
        </is>
      </c>
    </row>
    <row r="9">
      <c r="A9" t="inlineStr">
        <is>
          <t>31/08–06/09</t>
        </is>
      </c>
      <c r="B9" t="n">
        <v>4.7</v>
      </c>
      <c r="C9" t="n">
        <v>4</v>
      </c>
      <c r="D9" t="n">
        <v>3.3</v>
      </c>
      <c r="E9" t="n">
        <v>3.7</v>
      </c>
      <c r="F9" t="n">
        <v>3</v>
      </c>
    </row>
    <row r="10">
      <c r="A10" t="inlineStr">
        <is>
          <t>07/09–13/09</t>
        </is>
      </c>
      <c r="F10" t="n">
        <v>0</v>
      </c>
    </row>
    <row r="11">
      <c r="A11" t="inlineStr">
        <is>
          <t>14/09–20/09</t>
        </is>
      </c>
      <c r="F11" t="n">
        <v>0</v>
      </c>
    </row>
    <row r="12">
      <c r="A12" t="inlineStr">
        <is>
          <t>21/09–27/09</t>
        </is>
      </c>
      <c r="F12" t="n">
        <v>0</v>
      </c>
    </row>
    <row r="13">
      <c r="A13" t="inlineStr">
        <is>
          <t>28/09–04/10</t>
        </is>
      </c>
      <c r="F1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1" customWidth="1" min="3" max="3"/>
  </cols>
  <sheetData>
    <row r="1">
      <c r="A1" t="inlineStr">
        <is>
          <t>Athlète</t>
        </is>
      </c>
      <c r="B1" t="inlineStr">
        <is>
          <t>Lilian Monnaert</t>
        </is>
      </c>
    </row>
    <row r="2">
      <c r="A2" t="inlineStr">
        <is>
          <t>Total UA</t>
        </is>
      </c>
      <c r="B2" t="n">
        <v>2.7</v>
      </c>
    </row>
    <row r="3">
      <c r="A3" t="inlineStr">
        <is>
          <t>Aigu 7j</t>
        </is>
      </c>
      <c r="B3" t="n">
        <v>0</v>
      </c>
    </row>
    <row r="4">
      <c r="A4" t="inlineStr">
        <is>
          <t>Chronique /sem</t>
        </is>
      </c>
      <c r="B4" t="n">
        <v>0.7</v>
      </c>
    </row>
    <row r="5">
      <c r="A5" t="inlineStr">
        <is>
          <t>Ratio A/C</t>
        </is>
      </c>
      <c r="B5" t="n">
        <v>0</v>
      </c>
    </row>
    <row r="6"/>
    <row r="7">
      <c r="A7" s="12" t="inlineStr">
        <is>
          <t>Bucket</t>
        </is>
      </c>
      <c r="B7" s="12" t="inlineStr">
        <is>
          <t>UA</t>
        </is>
      </c>
      <c r="C7" s="12" t="inlineStr">
        <is>
          <t>RPE moyen</t>
        </is>
      </c>
    </row>
    <row r="8">
      <c r="A8" t="inlineStr">
        <is>
          <t>31/08–06/09</t>
        </is>
      </c>
      <c r="B8" t="n">
        <v>2.7</v>
      </c>
      <c r="C8" t="n">
        <v>8.800000000000001</v>
      </c>
    </row>
    <row r="9">
      <c r="A9" t="inlineStr">
        <is>
          <t>07/09–13/09</t>
        </is>
      </c>
      <c r="B9" t="n">
        <v>0</v>
      </c>
    </row>
    <row r="10">
      <c r="A10" t="inlineStr">
        <is>
          <t>14/09–20/09</t>
        </is>
      </c>
      <c r="B10" t="n">
        <v>0</v>
      </c>
    </row>
    <row r="11">
      <c r="A11" t="inlineStr">
        <is>
          <t>21/09–27/09</t>
        </is>
      </c>
      <c r="B11" t="n">
        <v>0</v>
      </c>
    </row>
    <row r="12">
      <c r="A12" t="inlineStr">
        <is>
          <t>28/09–04/10</t>
        </is>
      </c>
      <c r="B12" t="n">
        <v>0</v>
      </c>
    </row>
  </sheetData>
  <conditionalFormatting sqref="B8:B12">
    <cfRule type="dataBar" priority="1">
      <dataBar>
        <cfvo type="num" val="0"/>
        <cfvo type="max"/>
        <color rgb="006EA8FF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2" t="inlineStr">
        <is>
          <t>Zone</t>
        </is>
      </c>
      <c r="B1" s="12" t="inlineStr">
        <is>
          <t>Tonnage (kg)</t>
        </is>
      </c>
      <c r="C1" s="12" t="inlineStr">
        <is>
          <t>%</t>
        </is>
      </c>
    </row>
    <row r="2">
      <c r="A2" t="inlineStr">
        <is>
          <t>Push</t>
        </is>
      </c>
      <c r="B2" t="n">
        <v>17006</v>
      </c>
      <c r="C2" t="n">
        <v>55.5</v>
      </c>
    </row>
    <row r="3">
      <c r="A3" t="inlineStr">
        <is>
          <t>Pull</t>
        </is>
      </c>
      <c r="B3" t="n">
        <v>6560</v>
      </c>
      <c r="C3" t="n">
        <v>21.4</v>
      </c>
    </row>
    <row r="4">
      <c r="A4" t="inlineStr">
        <is>
          <t>Jambe</t>
        </is>
      </c>
      <c r="B4" t="n">
        <v>3772</v>
      </c>
      <c r="C4" t="n">
        <v>12.3</v>
      </c>
    </row>
    <row r="5">
      <c r="A5" t="inlineStr">
        <is>
          <t>Cardio</t>
        </is>
      </c>
      <c r="B5" t="n">
        <v>3280</v>
      </c>
      <c r="C5" t="n">
        <v>10.7</v>
      </c>
    </row>
  </sheetData>
  <conditionalFormatting sqref="C2:C5">
    <cfRule type="colorScale" priority="1">
      <colorScale>
        <cfvo type="min"/>
        <cfvo type="max"/>
        <color rgb="00FFFFFF"/>
        <color rgb="00C8F135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2026-09-24T15:01:00Z</dcterms:created>
  <dcterms:modified xsi:type="dcterms:W3CDTF">2026-09-24T15:01:00Z</dcterms:modified>
</cp:coreProperties>
</file>